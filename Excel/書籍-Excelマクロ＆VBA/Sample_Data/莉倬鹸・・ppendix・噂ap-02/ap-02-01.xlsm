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付録（Appendix）\ap-02\"/>
    </mc:Choice>
  </mc:AlternateContent>
  <xr:revisionPtr revIDLastSave="0" documentId="13_ncr:1_{044D9D11-0CCD-4FBE-86F8-E48482194938}" xr6:coauthVersionLast="47" xr6:coauthVersionMax="47" xr10:uidLastSave="{00000000-0000-0000-0000-000000000000}"/>
  <bookViews>
    <workbookView xWindow="-120" yWindow="-120" windowWidth="20730" windowHeight="1176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<sst xmlns="http://schemas.openxmlformats.org/spreadsheetml/2006/main" count="117" uniqueCount="76">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</sst>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6" fontId="0" fillId="0" borderId="0" xfId="2" applyFont="1">
      <alignment vertical="center"/>
    </xf>
    <xf numFmtId="0" fontId="0" fillId="2" borderId="0" xfId="0" applyFill="1">
      <alignment vertical="center"/>
    </xf>
    <xf numFmtId="0" fontId="7" fillId="2" borderId="6" xfId="0" applyFont="1" applyFill="1" applyBorder="1" applyAlignment="1">
      <alignment horizontal="center" vertical="center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right" vertical="center"/>
    </xf>
    <xf numFmtId="178" fontId="0" fillId="4" borderId="5" xfId="0" applyNumberFormat="1" applyFill="1" applyBorder="1" applyAlignment="1">
      <alignment horizontal="left" vertical="center"/>
    </xf>
    <xf numFmtId="0" fontId="0" fillId="5" borderId="3" xfId="0" applyFill="1" applyBorder="1">
      <alignment vertical="center"/>
    </xf>
    <xf numFmtId="6" fontId="0" fillId="5" borderId="3" xfId="2" applyFont="1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 applyAlignment="1">
      <alignment horizontal="center" vertical="center"/>
    </xf>
    <xf numFmtId="6" fontId="0" fillId="4" borderId="0" xfId="2" applyFont="1" applyFill="1" applyAlignment="1">
      <alignment horizontal="center" vertical="center"/>
    </xf>
    <xf numFmtId="38" fontId="0" fillId="4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200025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66675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104775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28575</xdr:rowOff>
        </xdr:from>
        <xdr:to>
          <xdr:col>11</xdr:col>
          <xdr:colOff>571500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200025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66675</xdr:rowOff>
        </xdr:from>
        <xdr:to>
          <xdr:col>11</xdr:col>
          <xdr:colOff>571500</xdr:colOff>
          <xdr:row>8</xdr:row>
          <xdr:rowOff>219075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4"/>
  <cols>
    <col min="1" max="1" width="4" customWidth="1"/>
    <col min="2" max="2" width="11.125" customWidth="1"/>
    <col min="3" max="3" width="24" customWidth="1"/>
    <col min="4" max="4" width="10.125" customWidth="1"/>
    <col min="5" max="5" width="10.5" customWidth="1"/>
    <col min="6" max="6" width="16.125" customWidth="1"/>
    <col min="7" max="7" width="2.25" customWidth="1"/>
    <col min="8" max="8" width="1.625" customWidth="1"/>
    <col min="10" max="10" width="2.125" customWidth="1"/>
    <col min="13" max="13" width="4" customWidth="1"/>
  </cols>
  <sheetData>
    <row r="1" spans="1:13" ht="22.5" customHeight="1" x14ac:dyDescent="0.4">
      <c r="A1" s="30" t="s">
        <v>64</v>
      </c>
      <c r="B1" s="30"/>
      <c r="C1" s="30"/>
      <c r="D1" s="30"/>
      <c r="E1" s="30"/>
      <c r="F1" s="30"/>
      <c r="H1" s="18"/>
      <c r="I1" s="18"/>
      <c r="J1" s="18"/>
      <c r="K1" s="18"/>
      <c r="L1" s="18"/>
      <c r="M1" s="18"/>
    </row>
    <row r="2" spans="1:13" ht="18.75" x14ac:dyDescent="0.4">
      <c r="E2" s="1" t="s">
        <v>65</v>
      </c>
      <c r="F2" s="11">
        <v>1</v>
      </c>
      <c r="H2" s="18"/>
      <c r="I2" s="18"/>
      <c r="J2" s="18"/>
      <c r="K2" s="18"/>
      <c r="L2" s="18"/>
      <c r="M2" s="18"/>
    </row>
    <row r="3" spans="1:13" ht="18.75" x14ac:dyDescent="0.4">
      <c r="E3" s="2" t="s">
        <v>66</v>
      </c>
      <c r="F3" s="12">
        <v>45866</v>
      </c>
      <c r="H3" s="18"/>
      <c r="I3" s="18"/>
      <c r="J3" s="18"/>
      <c r="K3" s="18"/>
      <c r="L3" s="18"/>
      <c r="M3" s="18"/>
    </row>
    <row r="4" spans="1:13" ht="24" x14ac:dyDescent="0.4">
      <c r="A4" s="31" t="s">
        <v>49</v>
      </c>
      <c r="B4" s="31"/>
      <c r="C4" s="31"/>
      <c r="H4" s="18"/>
      <c r="I4" s="18"/>
      <c r="J4" s="18"/>
      <c r="K4" s="18"/>
      <c r="L4" s="18"/>
      <c r="M4" s="18"/>
    </row>
    <row r="5" spans="1:13" ht="18.75" x14ac:dyDescent="0.4">
      <c r="B5" s="3"/>
      <c r="C5" s="13" t="s">
        <v>50</v>
      </c>
      <c r="F5" s="3" t="s">
        <v>0</v>
      </c>
      <c r="H5" s="18"/>
      <c r="I5" s="18"/>
      <c r="J5" s="18"/>
      <c r="K5" s="18"/>
      <c r="L5" s="18"/>
      <c r="M5" s="18"/>
    </row>
    <row r="6" spans="1:13" ht="18.75" x14ac:dyDescent="0.4">
      <c r="A6" t="s">
        <v>67</v>
      </c>
      <c r="F6" s="3" t="s">
        <v>1</v>
      </c>
      <c r="H6" s="18"/>
      <c r="I6" s="18"/>
      <c r="J6" s="18"/>
      <c r="K6" s="18"/>
      <c r="L6" s="18"/>
      <c r="M6" s="18"/>
    </row>
    <row r="7" spans="1:13" ht="25.5" x14ac:dyDescent="0.4">
      <c r="B7" s="4" t="s">
        <v>68</v>
      </c>
      <c r="C7" s="16">
        <f>F18</f>
        <v>77000</v>
      </c>
      <c r="F7" s="3" t="s">
        <v>29</v>
      </c>
      <c r="H7" s="18"/>
      <c r="I7" s="18"/>
      <c r="J7" s="18"/>
      <c r="K7" s="18"/>
      <c r="L7" s="18"/>
      <c r="M7" s="18"/>
    </row>
    <row r="8" spans="1:13" ht="18.75" x14ac:dyDescent="0.4">
      <c r="H8" s="18"/>
      <c r="I8" s="18"/>
      <c r="J8" s="18"/>
      <c r="K8" s="18"/>
      <c r="L8" s="18"/>
      <c r="M8" s="18"/>
    </row>
    <row r="9" spans="1:13" ht="18.75" x14ac:dyDescent="0.4">
      <c r="A9" s="21" t="s">
        <v>2</v>
      </c>
      <c r="B9" s="21" t="s">
        <v>3</v>
      </c>
      <c r="C9" s="21" t="s">
        <v>4</v>
      </c>
      <c r="D9" s="21" t="s">
        <v>5</v>
      </c>
      <c r="E9" s="21" t="s">
        <v>6</v>
      </c>
      <c r="F9" s="21" t="s">
        <v>30</v>
      </c>
      <c r="H9" s="18"/>
      <c r="I9" s="18"/>
      <c r="J9" s="18"/>
      <c r="K9" s="18"/>
      <c r="L9" s="18"/>
      <c r="M9" s="18"/>
    </row>
    <row r="10" spans="1:13" ht="18.75" x14ac:dyDescent="0.4">
      <c r="A10" s="24">
        <f t="shared" ref="A10:A15" si="0">IF(B10="","",ROW()-9)</f>
        <v>1</v>
      </c>
      <c r="B10" s="14" t="s">
        <v>51</v>
      </c>
      <c r="C10" s="14" t="s">
        <v>72</v>
      </c>
      <c r="D10" s="15">
        <v>15000</v>
      </c>
      <c r="E10" s="14">
        <v>2</v>
      </c>
      <c r="F10" s="25">
        <f t="shared" ref="F10:F15" si="1">IF(B10="","",D10*E10)</f>
        <v>30000</v>
      </c>
      <c r="H10" s="18"/>
      <c r="I10" s="18"/>
      <c r="J10" s="18"/>
      <c r="K10" s="18"/>
      <c r="L10" s="18"/>
      <c r="M10" s="18"/>
    </row>
    <row r="11" spans="1:13" ht="18.75" x14ac:dyDescent="0.4">
      <c r="A11" s="24">
        <f t="shared" si="0"/>
        <v>2</v>
      </c>
      <c r="B11" s="14" t="s">
        <v>53</v>
      </c>
      <c r="C11" s="14" t="s">
        <v>54</v>
      </c>
      <c r="D11" s="15">
        <v>20000</v>
      </c>
      <c r="E11" s="14">
        <v>2</v>
      </c>
      <c r="F11" s="25">
        <f t="shared" si="1"/>
        <v>40000</v>
      </c>
      <c r="H11" s="18"/>
      <c r="I11" s="18"/>
      <c r="J11" s="18"/>
      <c r="K11" s="18"/>
      <c r="L11" s="18"/>
      <c r="M11" s="18"/>
    </row>
    <row r="12" spans="1:13" ht="18.75" x14ac:dyDescent="0.4">
      <c r="A12" s="24" t="str">
        <f t="shared" si="0"/>
        <v/>
      </c>
      <c r="B12" s="14"/>
      <c r="C12" s="14"/>
      <c r="D12" s="15"/>
      <c r="E12" s="14"/>
      <c r="F12" s="25" t="str">
        <f t="shared" si="1"/>
        <v/>
      </c>
      <c r="H12" s="18"/>
      <c r="I12" s="18"/>
      <c r="J12" s="18"/>
      <c r="K12" s="18"/>
      <c r="L12" s="18"/>
      <c r="M12" s="18"/>
    </row>
    <row r="13" spans="1:13" ht="18.75" x14ac:dyDescent="0.4">
      <c r="A13" s="24" t="str">
        <f t="shared" si="0"/>
        <v/>
      </c>
      <c r="B13" s="14"/>
      <c r="C13" s="14"/>
      <c r="D13" s="15"/>
      <c r="E13" s="14"/>
      <c r="F13" s="25" t="str">
        <f t="shared" si="1"/>
        <v/>
      </c>
      <c r="H13" s="18"/>
      <c r="I13" s="19" t="s">
        <v>74</v>
      </c>
      <c r="J13" s="18"/>
      <c r="K13" s="18"/>
      <c r="L13" s="18"/>
      <c r="M13" s="18"/>
    </row>
    <row r="14" spans="1:13" ht="18.75" x14ac:dyDescent="0.4">
      <c r="A14" s="24" t="str">
        <f t="shared" si="0"/>
        <v/>
      </c>
      <c r="B14" s="14"/>
      <c r="C14" s="14"/>
      <c r="D14" s="15"/>
      <c r="E14" s="14"/>
      <c r="F14" s="25" t="str">
        <f t="shared" si="1"/>
        <v/>
      </c>
      <c r="H14" s="18"/>
      <c r="I14" s="20">
        <v>1</v>
      </c>
      <c r="J14" s="18"/>
      <c r="K14" s="18"/>
      <c r="L14" s="18"/>
      <c r="M14" s="18"/>
    </row>
    <row r="15" spans="1:13" ht="18.75" x14ac:dyDescent="0.4">
      <c r="A15" s="24" t="str">
        <f t="shared" si="0"/>
        <v/>
      </c>
      <c r="B15" s="14"/>
      <c r="C15" s="14"/>
      <c r="D15" s="15"/>
      <c r="E15" s="14"/>
      <c r="F15" s="25" t="str">
        <f t="shared" si="1"/>
        <v/>
      </c>
      <c r="H15" s="18"/>
      <c r="I15" s="18"/>
      <c r="J15" s="18"/>
      <c r="K15" s="18"/>
      <c r="L15" s="18"/>
      <c r="M15" s="18"/>
    </row>
    <row r="16" spans="1:13" ht="18.75" x14ac:dyDescent="0.4">
      <c r="D16" s="32" t="s">
        <v>26</v>
      </c>
      <c r="E16" s="33"/>
      <c r="F16" s="25">
        <f>SUM(F10:F15)</f>
        <v>70000</v>
      </c>
      <c r="H16" s="18"/>
      <c r="I16" s="18"/>
      <c r="J16" s="18"/>
      <c r="K16" s="18"/>
      <c r="L16" s="18"/>
      <c r="M16" s="18"/>
    </row>
    <row r="17" spans="4:13" ht="18.75" x14ac:dyDescent="0.4">
      <c r="D17" s="22" t="s">
        <v>27</v>
      </c>
      <c r="E17" s="23">
        <v>0.1</v>
      </c>
      <c r="F17" s="25">
        <f>F16*E17</f>
        <v>7000</v>
      </c>
      <c r="H17" s="18"/>
      <c r="I17" s="18"/>
      <c r="J17" s="18"/>
      <c r="K17" s="18"/>
      <c r="L17" s="18"/>
      <c r="M17" s="18"/>
    </row>
    <row r="18" spans="4:13" ht="18.75" x14ac:dyDescent="0.4">
      <c r="D18" s="32" t="s">
        <v>28</v>
      </c>
      <c r="E18" s="33"/>
      <c r="F18" s="25">
        <f>SUM(F16:F17)</f>
        <v>77000</v>
      </c>
      <c r="H18" s="18"/>
      <c r="I18" s="18"/>
      <c r="J18" s="18"/>
      <c r="K18" s="18"/>
      <c r="L18" s="18"/>
      <c r="M18" s="18"/>
    </row>
    <row r="19" spans="4:13" ht="18.75" x14ac:dyDescent="0.4">
      <c r="H19" s="18"/>
      <c r="I19" s="18"/>
      <c r="J19" s="18"/>
      <c r="K19" s="18"/>
      <c r="L19" s="18"/>
      <c r="M19" s="18"/>
    </row>
    <row r="20" spans="4:13" ht="18.75" x14ac:dyDescent="0.4">
      <c r="H20" s="18"/>
      <c r="I20" s="18"/>
      <c r="J20" s="18"/>
      <c r="K20" s="18"/>
      <c r="L20" s="18"/>
      <c r="M20" s="18"/>
    </row>
    <row r="21" spans="4:13" ht="18.75" x14ac:dyDescent="0.4"/>
    <row r="22" spans="4:13" ht="18.75" x14ac:dyDescent="0.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>
                  <from>
                    <xdr:col>10</xdr:col>
                    <xdr:colOff>0</xdr:colOff>
                    <xdr:row>2</xdr:row>
                    <xdr:rowOff>200025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66675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>
                  <from>
                    <xdr:col>10</xdr:col>
                    <xdr:colOff>0</xdr:colOff>
                    <xdr:row>0</xdr:row>
                    <xdr:rowOff>104775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>
                  <from>
                    <xdr:col>10</xdr:col>
                    <xdr:colOff>0</xdr:colOff>
                    <xdr:row>5</xdr:row>
                    <xdr:rowOff>28575</xdr:rowOff>
                  </from>
                  <to>
                    <xdr:col>11</xdr:col>
                    <xdr:colOff>571500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200025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10</xdr:col>
                    <xdr:colOff>0</xdr:colOff>
                    <xdr:row>7</xdr:row>
                    <xdr:rowOff>66675</xdr:rowOff>
                  </from>
                  <to>
                    <xdr:col>11</xdr:col>
                    <xdr:colOff>571500</xdr:colOff>
                    <xdr:row>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.75" x14ac:dyDescent="0.4"/>
  <cols>
    <col min="2" max="2" width="15.625" style="10" bestFit="1" customWidth="1"/>
    <col min="4" max="4" width="24.125" bestFit="1" customWidth="1"/>
    <col min="6" max="6" width="11.75" bestFit="1" customWidth="1"/>
    <col min="7" max="7" width="10.375" style="17" bestFit="1" customWidth="1"/>
    <col min="8" max="8" width="9" style="9"/>
    <col min="9" max="9" width="11.5" style="17" bestFit="1" customWidth="1"/>
  </cols>
  <sheetData>
    <row r="1" spans="1:9" x14ac:dyDescent="0.4">
      <c r="A1" t="s">
        <v>69</v>
      </c>
      <c r="B1" s="8"/>
    </row>
    <row r="3" spans="1:9" x14ac:dyDescent="0.4">
      <c r="A3" s="26" t="s">
        <v>65</v>
      </c>
      <c r="B3" s="27" t="s">
        <v>66</v>
      </c>
      <c r="C3" s="26" t="s">
        <v>8</v>
      </c>
      <c r="D3" s="26" t="s">
        <v>25</v>
      </c>
      <c r="E3" s="26" t="s">
        <v>3</v>
      </c>
      <c r="F3" s="26" t="s">
        <v>4</v>
      </c>
      <c r="G3" s="28" t="s">
        <v>5</v>
      </c>
      <c r="H3" s="29" t="s">
        <v>6</v>
      </c>
      <c r="I3" s="28" t="s">
        <v>7</v>
      </c>
    </row>
    <row r="4" spans="1:9" x14ac:dyDescent="0.4">
      <c r="A4">
        <v>1</v>
      </c>
      <c r="B4" s="10">
        <v>45866</v>
      </c>
      <c r="C4" t="s">
        <v>50</v>
      </c>
      <c r="D4" t="s">
        <v>49</v>
      </c>
      <c r="E4" t="s">
        <v>51</v>
      </c>
      <c r="F4" t="s">
        <v>72</v>
      </c>
      <c r="G4" s="17">
        <v>15000</v>
      </c>
      <c r="H4" s="9">
        <v>2</v>
      </c>
      <c r="I4" s="17">
        <v>30000</v>
      </c>
    </row>
    <row r="5" spans="1:9" x14ac:dyDescent="0.4">
      <c r="A5">
        <v>1</v>
      </c>
      <c r="B5" s="10">
        <v>45866</v>
      </c>
      <c r="C5" t="s">
        <v>50</v>
      </c>
      <c r="D5" t="s">
        <v>49</v>
      </c>
      <c r="E5" t="s">
        <v>53</v>
      </c>
      <c r="F5" t="s">
        <v>54</v>
      </c>
      <c r="G5" s="17">
        <v>20000</v>
      </c>
      <c r="H5" s="9">
        <v>2</v>
      </c>
      <c r="I5" s="17">
        <v>40000</v>
      </c>
    </row>
    <row r="6" spans="1:9" x14ac:dyDescent="0.4">
      <c r="A6">
        <v>2</v>
      </c>
      <c r="B6" s="10">
        <v>45866</v>
      </c>
      <c r="C6" t="s">
        <v>58</v>
      </c>
      <c r="D6" t="s">
        <v>57</v>
      </c>
      <c r="E6" t="s">
        <v>53</v>
      </c>
      <c r="F6" t="s">
        <v>54</v>
      </c>
      <c r="G6" s="17">
        <v>20000</v>
      </c>
      <c r="H6" s="9">
        <v>2</v>
      </c>
      <c r="I6" s="17">
        <v>40000</v>
      </c>
    </row>
    <row r="7" spans="1:9" x14ac:dyDescent="0.4">
      <c r="A7">
        <v>3</v>
      </c>
      <c r="B7" s="10">
        <v>45866</v>
      </c>
      <c r="C7" t="s">
        <v>40</v>
      </c>
      <c r="D7" t="s">
        <v>63</v>
      </c>
      <c r="E7" t="s">
        <v>51</v>
      </c>
      <c r="F7" t="s">
        <v>52</v>
      </c>
      <c r="G7" s="17">
        <v>15000</v>
      </c>
      <c r="H7" s="9">
        <v>5</v>
      </c>
      <c r="I7" s="17">
        <v>75000</v>
      </c>
    </row>
    <row r="8" spans="1:9" x14ac:dyDescent="0.4">
      <c r="A8">
        <v>3</v>
      </c>
      <c r="B8" s="10">
        <v>45866</v>
      </c>
      <c r="C8" t="s">
        <v>40</v>
      </c>
      <c r="D8" t="s">
        <v>63</v>
      </c>
      <c r="E8" t="s">
        <v>53</v>
      </c>
      <c r="F8" t="s">
        <v>54</v>
      </c>
      <c r="G8" s="17">
        <v>20000</v>
      </c>
      <c r="H8" s="9">
        <v>5</v>
      </c>
      <c r="I8" s="17">
        <v>100000</v>
      </c>
    </row>
    <row r="9" spans="1:9" x14ac:dyDescent="0.4">
      <c r="A9">
        <v>3</v>
      </c>
      <c r="B9" s="10">
        <v>45866</v>
      </c>
      <c r="C9" t="s">
        <v>40</v>
      </c>
      <c r="D9" t="s">
        <v>63</v>
      </c>
      <c r="E9" t="s">
        <v>55</v>
      </c>
      <c r="F9" t="s">
        <v>56</v>
      </c>
      <c r="G9" s="17">
        <v>9000</v>
      </c>
      <c r="H9" s="9">
        <v>1</v>
      </c>
      <c r="I9" s="17">
        <v>9000</v>
      </c>
    </row>
    <row r="10" spans="1:9" x14ac:dyDescent="0.4">
      <c r="A10">
        <v>4</v>
      </c>
      <c r="B10" s="10">
        <v>45866</v>
      </c>
      <c r="C10" t="s">
        <v>62</v>
      </c>
      <c r="D10" t="s">
        <v>61</v>
      </c>
      <c r="E10" t="s">
        <v>53</v>
      </c>
      <c r="F10" t="s">
        <v>54</v>
      </c>
      <c r="G10" s="17">
        <v>20000</v>
      </c>
      <c r="H10" s="9">
        <v>1</v>
      </c>
      <c r="I10" s="17">
        <v>20000</v>
      </c>
    </row>
    <row r="11" spans="1:9" x14ac:dyDescent="0.4">
      <c r="A11">
        <v>4</v>
      </c>
      <c r="B11" s="10">
        <v>45866</v>
      </c>
      <c r="C11" t="s">
        <v>62</v>
      </c>
      <c r="D11" t="s">
        <v>61</v>
      </c>
      <c r="E11" t="s">
        <v>70</v>
      </c>
      <c r="F11" t="s">
        <v>71</v>
      </c>
      <c r="G11" s="17">
        <v>10000</v>
      </c>
      <c r="H11" s="9">
        <v>1</v>
      </c>
      <c r="I11" s="17">
        <v>10000</v>
      </c>
    </row>
    <row r="12" spans="1:9" x14ac:dyDescent="0.4">
      <c r="A12">
        <v>4</v>
      </c>
      <c r="B12" s="10">
        <v>45866</v>
      </c>
      <c r="C12" t="s">
        <v>62</v>
      </c>
      <c r="D12" t="s">
        <v>61</v>
      </c>
      <c r="E12" t="s">
        <v>59</v>
      </c>
      <c r="F12" t="s">
        <v>60</v>
      </c>
      <c r="G12" s="17">
        <v>14000</v>
      </c>
      <c r="H12" s="9">
        <v>1</v>
      </c>
      <c r="I12" s="17">
        <v>14000</v>
      </c>
    </row>
    <row r="13" spans="1:9" x14ac:dyDescent="0.4">
      <c r="A13">
        <v>5</v>
      </c>
      <c r="B13" s="10">
        <v>45867</v>
      </c>
      <c r="C13" t="s">
        <v>43</v>
      </c>
      <c r="D13" t="s">
        <v>75</v>
      </c>
      <c r="E13" t="s">
        <v>53</v>
      </c>
      <c r="F13" t="s">
        <v>54</v>
      </c>
      <c r="G13" s="17">
        <v>20000</v>
      </c>
      <c r="H13" s="9">
        <v>3</v>
      </c>
      <c r="I13" s="17">
        <v>60000</v>
      </c>
    </row>
    <row r="14" spans="1:9" x14ac:dyDescent="0.4">
      <c r="A14">
        <v>5</v>
      </c>
      <c r="B14" s="10">
        <v>45867</v>
      </c>
      <c r="C14" t="s">
        <v>43</v>
      </c>
      <c r="D14" t="s">
        <v>75</v>
      </c>
      <c r="E14" t="s">
        <v>70</v>
      </c>
      <c r="F14" t="s">
        <v>71</v>
      </c>
      <c r="G14" s="17">
        <v>10000</v>
      </c>
      <c r="H14" s="9">
        <v>3</v>
      </c>
      <c r="I14" s="17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3" sqref="A3"/>
    </sheetView>
  </sheetViews>
  <sheetFormatPr defaultRowHeight="18.75" x14ac:dyDescent="0.4"/>
  <cols>
    <col min="1" max="1" width="14.125" bestFit="1" customWidth="1"/>
    <col min="2" max="2" width="25.75" customWidth="1"/>
    <col min="3" max="3" width="15" customWidth="1"/>
  </cols>
  <sheetData>
    <row r="1" spans="1:3" x14ac:dyDescent="0.4">
      <c r="A1" t="s">
        <v>31</v>
      </c>
    </row>
    <row r="3" spans="1:3" x14ac:dyDescent="0.4">
      <c r="A3" s="5" t="s">
        <v>8</v>
      </c>
      <c r="B3" s="5" t="s">
        <v>32</v>
      </c>
      <c r="C3" s="5" t="s">
        <v>33</v>
      </c>
    </row>
    <row r="4" spans="1:3" x14ac:dyDescent="0.4">
      <c r="A4" t="s">
        <v>34</v>
      </c>
      <c r="B4" t="s">
        <v>35</v>
      </c>
      <c r="C4" t="s">
        <v>36</v>
      </c>
    </row>
    <row r="5" spans="1:3" x14ac:dyDescent="0.4">
      <c r="A5" t="s">
        <v>37</v>
      </c>
      <c r="B5" t="s">
        <v>38</v>
      </c>
      <c r="C5" t="s">
        <v>39</v>
      </c>
    </row>
    <row r="6" spans="1:3" x14ac:dyDescent="0.4">
      <c r="A6" t="s">
        <v>40</v>
      </c>
      <c r="B6" t="s">
        <v>41</v>
      </c>
      <c r="C6" t="s">
        <v>42</v>
      </c>
    </row>
    <row r="7" spans="1:3" x14ac:dyDescent="0.4">
      <c r="A7" t="s">
        <v>43</v>
      </c>
      <c r="B7" t="s">
        <v>44</v>
      </c>
      <c r="C7" t="s">
        <v>45</v>
      </c>
    </row>
    <row r="8" spans="1:3" x14ac:dyDescent="0.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3" sqref="A3"/>
    </sheetView>
  </sheetViews>
  <sheetFormatPr defaultRowHeight="18.75" x14ac:dyDescent="0.4"/>
  <cols>
    <col min="1" max="1" width="14.125" bestFit="1" customWidth="1"/>
    <col min="2" max="2" width="25.75" customWidth="1"/>
    <col min="4" max="4" width="10.75" customWidth="1"/>
  </cols>
  <sheetData>
    <row r="1" spans="1:3" x14ac:dyDescent="0.4">
      <c r="A1" t="s">
        <v>9</v>
      </c>
    </row>
    <row r="3" spans="1:3" x14ac:dyDescent="0.4">
      <c r="A3" s="5" t="s">
        <v>3</v>
      </c>
      <c r="B3" s="5" t="s">
        <v>4</v>
      </c>
      <c r="C3" s="5" t="s">
        <v>5</v>
      </c>
    </row>
    <row r="4" spans="1:3" x14ac:dyDescent="0.4">
      <c r="A4" t="s">
        <v>10</v>
      </c>
      <c r="B4" t="s">
        <v>73</v>
      </c>
      <c r="C4" s="6">
        <v>15000</v>
      </c>
    </row>
    <row r="5" spans="1:3" x14ac:dyDescent="0.4">
      <c r="A5" t="s">
        <v>11</v>
      </c>
      <c r="B5" t="s">
        <v>12</v>
      </c>
      <c r="C5" s="6">
        <v>12000</v>
      </c>
    </row>
    <row r="6" spans="1:3" x14ac:dyDescent="0.4">
      <c r="A6" t="s">
        <v>13</v>
      </c>
      <c r="B6" t="s">
        <v>14</v>
      </c>
      <c r="C6" s="6">
        <v>8000</v>
      </c>
    </row>
    <row r="7" spans="1:3" x14ac:dyDescent="0.4">
      <c r="A7" t="s">
        <v>15</v>
      </c>
      <c r="B7" t="s">
        <v>16</v>
      </c>
      <c r="C7" s="6">
        <v>20000</v>
      </c>
    </row>
    <row r="8" spans="1:3" x14ac:dyDescent="0.4">
      <c r="A8" t="s">
        <v>17</v>
      </c>
      <c r="B8" t="s">
        <v>18</v>
      </c>
      <c r="C8" s="6">
        <v>13000</v>
      </c>
    </row>
    <row r="9" spans="1:3" x14ac:dyDescent="0.4">
      <c r="A9" t="s">
        <v>19</v>
      </c>
      <c r="B9" t="s">
        <v>20</v>
      </c>
      <c r="C9" s="6">
        <v>10000</v>
      </c>
    </row>
    <row r="10" spans="1:3" x14ac:dyDescent="0.4">
      <c r="A10" t="s">
        <v>21</v>
      </c>
      <c r="B10" t="s">
        <v>22</v>
      </c>
      <c r="C10" s="6">
        <v>14000</v>
      </c>
    </row>
    <row r="11" spans="1:3" x14ac:dyDescent="0.4">
      <c r="A11" t="s">
        <v>23</v>
      </c>
      <c r="B11" t="s">
        <v>24</v>
      </c>
      <c r="C11" s="7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2019-02-19T11:58:00Z</cp:lastPrinted>
  <dcterms:created xsi:type="dcterms:W3CDTF">2018-11-27T11:39:04Z</dcterms:created>
  <dcterms:modified xsi:type="dcterms:W3CDTF">2025-05-04T05:47:50Z</dcterms:modified>
</cp:coreProperties>
</file>